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unctions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Pivot_Chart" sheetId="4" state="visible" r:id="rId4"/>
    <sheet xmlns:r="http://schemas.openxmlformats.org/officeDocument/2006/relationships" name="Formatting_Filtering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4" hidden="1">'Formatting_Filtering'!$A$1:$G$11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'Pivot_Chart'!$A$2:$A$5</f>
            </numRef>
          </cat>
          <val>
            <numRef>
              <f>'Pivot_Chart'!$B$2:$B$5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G11" headerRowCount="1">
  <autoFilter ref="A1:G11"/>
  <tableColumns count="7">
    <tableColumn id="1" name="Sale_ID"/>
    <tableColumn id="2" name="Product_ID"/>
    <tableColumn id="3" name="Product"/>
    <tableColumn id="4" name="Region"/>
    <tableColumn id="5" name="Quantity"/>
    <tableColumn id="6" name="Unit_Price"/>
    <tableColumn id="7" name="Sa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</t>
        </is>
      </c>
    </row>
    <row r="2">
      <c r="A2" t="n">
        <v>1</v>
      </c>
      <c r="B2" t="n">
        <v>301</v>
      </c>
      <c r="C2" t="inlineStr">
        <is>
          <t>Laptop</t>
        </is>
      </c>
      <c r="D2" t="inlineStr">
        <is>
          <t>North</t>
        </is>
      </c>
      <c r="E2" t="n">
        <v>2</v>
      </c>
      <c r="F2" t="n">
        <v>65000</v>
      </c>
      <c r="G2" t="n">
        <v>130000</v>
      </c>
    </row>
    <row r="3">
      <c r="A3" t="n">
        <v>2</v>
      </c>
      <c r="B3" t="n">
        <v>302</v>
      </c>
      <c r="C3" t="inlineStr">
        <is>
          <t>Mouse</t>
        </is>
      </c>
      <c r="D3" t="inlineStr">
        <is>
          <t>West</t>
        </is>
      </c>
      <c r="E3" t="n">
        <v>15</v>
      </c>
      <c r="F3" t="n">
        <v>800</v>
      </c>
      <c r="G3" t="n">
        <v>12000</v>
      </c>
    </row>
    <row r="4">
      <c r="A4" t="n">
        <v>3</v>
      </c>
      <c r="B4" t="n">
        <v>304</v>
      </c>
      <c r="C4" t="inlineStr">
        <is>
          <t>Monitor</t>
        </is>
      </c>
      <c r="D4" t="inlineStr">
        <is>
          <t>South</t>
        </is>
      </c>
      <c r="E4" t="n">
        <v>5</v>
      </c>
      <c r="F4" t="n">
        <v>18000</v>
      </c>
      <c r="G4" t="n">
        <v>90000</v>
      </c>
    </row>
    <row r="5">
      <c r="A5" t="n">
        <v>4</v>
      </c>
      <c r="B5" t="n">
        <v>303</v>
      </c>
      <c r="C5" t="inlineStr">
        <is>
          <t>Keyboard</t>
        </is>
      </c>
      <c r="D5" t="inlineStr">
        <is>
          <t>North</t>
        </is>
      </c>
      <c r="E5" t="n">
        <v>10</v>
      </c>
      <c r="F5" t="n">
        <v>1500</v>
      </c>
      <c r="G5" t="n">
        <v>15000</v>
      </c>
    </row>
    <row r="6">
      <c r="A6" t="n">
        <v>5</v>
      </c>
      <c r="B6" t="n">
        <v>305</v>
      </c>
      <c r="C6" t="inlineStr">
        <is>
          <t>Printer</t>
        </is>
      </c>
      <c r="D6" t="inlineStr">
        <is>
          <t>East</t>
        </is>
      </c>
      <c r="E6" t="n">
        <v>3</v>
      </c>
      <c r="F6" t="n">
        <v>12000</v>
      </c>
      <c r="G6" t="n">
        <v>36000</v>
      </c>
    </row>
    <row r="7">
      <c r="A7" t="n">
        <v>6</v>
      </c>
      <c r="B7" t="n">
        <v>306</v>
      </c>
      <c r="C7" t="inlineStr">
        <is>
          <t>Headphones</t>
        </is>
      </c>
      <c r="D7" t="inlineStr">
        <is>
          <t>West</t>
        </is>
      </c>
      <c r="E7" t="n">
        <v>8</v>
      </c>
      <c r="F7" t="n">
        <v>2500</v>
      </c>
      <c r="G7" t="n">
        <v>20000</v>
      </c>
    </row>
    <row r="8">
      <c r="A8" t="n">
        <v>7</v>
      </c>
      <c r="B8" t="n">
        <v>301</v>
      </c>
      <c r="C8" t="inlineStr">
        <is>
          <t>Laptop</t>
        </is>
      </c>
      <c r="D8" t="inlineStr">
        <is>
          <t>South</t>
        </is>
      </c>
      <c r="E8" t="n">
        <v>1</v>
      </c>
      <c r="F8" t="n">
        <v>65000</v>
      </c>
      <c r="G8" t="n">
        <v>65000</v>
      </c>
    </row>
    <row r="9">
      <c r="A9" t="n">
        <v>8</v>
      </c>
      <c r="B9" t="n">
        <v>302</v>
      </c>
      <c r="C9" t="inlineStr">
        <is>
          <t>Mouse</t>
        </is>
      </c>
      <c r="D9" t="inlineStr">
        <is>
          <t>East</t>
        </is>
      </c>
      <c r="E9" t="n">
        <v>20</v>
      </c>
      <c r="F9" t="n">
        <v>800</v>
      </c>
      <c r="G9" t="n">
        <v>16000</v>
      </c>
    </row>
    <row r="10">
      <c r="A10" t="n">
        <v>9</v>
      </c>
      <c r="B10" t="n">
        <v>304</v>
      </c>
      <c r="C10" t="inlineStr">
        <is>
          <t>Monitor</t>
        </is>
      </c>
      <c r="D10" t="inlineStr">
        <is>
          <t>North</t>
        </is>
      </c>
      <c r="E10" t="n">
        <v>4</v>
      </c>
      <c r="F10" t="n">
        <v>18000</v>
      </c>
      <c r="G10" t="n">
        <v>72000</v>
      </c>
    </row>
    <row r="11">
      <c r="A11" t="n">
        <v>10</v>
      </c>
      <c r="B11" t="n">
        <v>303</v>
      </c>
      <c r="C11" t="inlineStr">
        <is>
          <t>Keyboard</t>
        </is>
      </c>
      <c r="D11" t="inlineStr">
        <is>
          <t>West</t>
        </is>
      </c>
      <c r="E11" t="n">
        <v>12</v>
      </c>
      <c r="F11" t="n">
        <v>1500</v>
      </c>
      <c r="G11" t="n">
        <v>18000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Sale_ID</t>
        </is>
      </c>
      <c r="B1" s="2" t="inlineStr">
        <is>
          <t>Product</t>
        </is>
      </c>
      <c r="C1" s="2" t="inlineStr">
        <is>
          <t>Region</t>
        </is>
      </c>
      <c r="D1" s="2" t="inlineStr">
        <is>
          <t>Quantity</t>
        </is>
      </c>
      <c r="E1" s="2" t="inlineStr">
        <is>
          <t>Sales</t>
        </is>
      </c>
      <c r="F1" s="2" t="inlineStr">
        <is>
          <t>IF Result</t>
        </is>
      </c>
      <c r="G1" s="2" t="n"/>
      <c r="H1" s="2" t="inlineStr">
        <is>
          <t>Metric</t>
        </is>
      </c>
      <c r="I1" s="2" t="inlineStr">
        <is>
          <t>Result</t>
        </is>
      </c>
    </row>
    <row r="2">
      <c r="A2" t="n">
        <v>1</v>
      </c>
      <c r="B2" t="inlineStr">
        <is>
          <t>Laptop</t>
        </is>
      </c>
      <c r="C2" t="inlineStr">
        <is>
          <t>North</t>
        </is>
      </c>
      <c r="D2" t="n">
        <v>2</v>
      </c>
      <c r="E2" t="n">
        <v>130000</v>
      </c>
      <c r="F2">
        <f>IF(E2&gt;=10000,"High","Normal")</f>
        <v/>
      </c>
      <c r="H2" t="inlineStr">
        <is>
          <t>COUNTIF - West Orders</t>
        </is>
      </c>
      <c r="I2">
        <f>COUNTIF(C2:C11,"West")</f>
        <v/>
      </c>
    </row>
    <row r="3">
      <c r="A3" t="n">
        <v>2</v>
      </c>
      <c r="B3" t="inlineStr">
        <is>
          <t>Mouse</t>
        </is>
      </c>
      <c r="C3" t="inlineStr">
        <is>
          <t>West</t>
        </is>
      </c>
      <c r="D3" t="n">
        <v>15</v>
      </c>
      <c r="E3" t="n">
        <v>12000</v>
      </c>
      <c r="F3">
        <f>IF(E3&gt;=10000,"High","Normal")</f>
        <v/>
      </c>
      <c r="H3" t="inlineStr">
        <is>
          <t>SUMIF - West Sales</t>
        </is>
      </c>
      <c r="I3">
        <f>SUMIF(C2:C11,"West",E2:E11)</f>
        <v/>
      </c>
    </row>
    <row r="4">
      <c r="A4" t="n">
        <v>3</v>
      </c>
      <c r="B4" t="inlineStr">
        <is>
          <t>Monitor</t>
        </is>
      </c>
      <c r="C4" t="inlineStr">
        <is>
          <t>South</t>
        </is>
      </c>
      <c r="D4" t="n">
        <v>5</v>
      </c>
      <c r="E4" t="n">
        <v>90000</v>
      </c>
      <c r="F4">
        <f>IF(E4&gt;=10000,"High","Normal")</f>
        <v/>
      </c>
    </row>
    <row r="5">
      <c r="A5" t="n">
        <v>4</v>
      </c>
      <c r="B5" t="inlineStr">
        <is>
          <t>Keyboard</t>
        </is>
      </c>
      <c r="C5" t="inlineStr">
        <is>
          <t>North</t>
        </is>
      </c>
      <c r="D5" t="n">
        <v>10</v>
      </c>
      <c r="E5" t="n">
        <v>15000</v>
      </c>
      <c r="F5">
        <f>IF(E5&gt;=10000,"High","Normal")</f>
        <v/>
      </c>
    </row>
    <row r="6">
      <c r="A6" t="n">
        <v>5</v>
      </c>
      <c r="B6" t="inlineStr">
        <is>
          <t>Printer</t>
        </is>
      </c>
      <c r="C6" t="inlineStr">
        <is>
          <t>East</t>
        </is>
      </c>
      <c r="D6" t="n">
        <v>3</v>
      </c>
      <c r="E6" t="n">
        <v>36000</v>
      </c>
      <c r="F6">
        <f>IF(E6&gt;=10000,"High","Normal")</f>
        <v/>
      </c>
    </row>
    <row r="7">
      <c r="A7" t="n">
        <v>6</v>
      </c>
      <c r="B7" t="inlineStr">
        <is>
          <t>Headphones</t>
        </is>
      </c>
      <c r="C7" t="inlineStr">
        <is>
          <t>West</t>
        </is>
      </c>
      <c r="D7" t="n">
        <v>8</v>
      </c>
      <c r="E7" t="n">
        <v>20000</v>
      </c>
      <c r="F7">
        <f>IF(E7&gt;=10000,"High","Normal")</f>
        <v/>
      </c>
    </row>
    <row r="8">
      <c r="A8" t="n">
        <v>7</v>
      </c>
      <c r="B8" t="inlineStr">
        <is>
          <t>Laptop</t>
        </is>
      </c>
      <c r="C8" t="inlineStr">
        <is>
          <t>South</t>
        </is>
      </c>
      <c r="D8" t="n">
        <v>1</v>
      </c>
      <c r="E8" t="n">
        <v>65000</v>
      </c>
      <c r="F8">
        <f>IF(E8&gt;=10000,"High","Normal")</f>
        <v/>
      </c>
    </row>
    <row r="9">
      <c r="A9" t="n">
        <v>8</v>
      </c>
      <c r="B9" t="inlineStr">
        <is>
          <t>Mouse</t>
        </is>
      </c>
      <c r="C9" t="inlineStr">
        <is>
          <t>East</t>
        </is>
      </c>
      <c r="D9" t="n">
        <v>20</v>
      </c>
      <c r="E9" t="n">
        <v>16000</v>
      </c>
      <c r="F9">
        <f>IF(E9&gt;=10000,"High","Normal")</f>
        <v/>
      </c>
    </row>
    <row r="10">
      <c r="A10" t="n">
        <v>9</v>
      </c>
      <c r="B10" t="inlineStr">
        <is>
          <t>Monitor</t>
        </is>
      </c>
      <c r="C10" t="inlineStr">
        <is>
          <t>North</t>
        </is>
      </c>
      <c r="D10" t="n">
        <v>4</v>
      </c>
      <c r="E10" t="n">
        <v>72000</v>
      </c>
      <c r="F10">
        <f>IF(E10&gt;=10000,"High","Normal")</f>
        <v/>
      </c>
    </row>
    <row r="11">
      <c r="A11" t="n">
        <v>10</v>
      </c>
      <c r="B11" t="inlineStr">
        <is>
          <t>Keyboard</t>
        </is>
      </c>
      <c r="C11" t="inlineStr">
        <is>
          <t>West</t>
        </is>
      </c>
      <c r="D11" t="n">
        <v>12</v>
      </c>
      <c r="E11" t="n">
        <v>18000</v>
      </c>
      <c r="F11">
        <f>IF(E11&gt;=10000,"High","Normal")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Product_ID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Price</t>
        </is>
      </c>
      <c r="E1" s="2" t="n"/>
      <c r="F1" s="2" t="inlineStr">
        <is>
          <t>Lookup Product ID</t>
        </is>
      </c>
      <c r="G1" s="2" t="n">
        <v>301</v>
      </c>
    </row>
    <row r="2">
      <c r="A2" t="n">
        <v>301</v>
      </c>
      <c r="B2" t="inlineStr">
        <is>
          <t>Laptop</t>
        </is>
      </c>
      <c r="C2" t="inlineStr">
        <is>
          <t>Electronics</t>
        </is>
      </c>
      <c r="D2" t="n">
        <v>65000</v>
      </c>
      <c r="F2" t="inlineStr">
        <is>
          <t>VLOOKUP Price</t>
        </is>
      </c>
      <c r="G2">
        <f>VLOOKUP(G1,A2:D7,4,FALSE)</f>
        <v/>
      </c>
    </row>
    <row r="3">
      <c r="A3" t="n">
        <v>302</v>
      </c>
      <c r="B3" t="inlineStr">
        <is>
          <t>Mouse</t>
        </is>
      </c>
      <c r="C3" t="inlineStr">
        <is>
          <t>Accessories</t>
        </is>
      </c>
      <c r="D3" t="n">
        <v>800</v>
      </c>
      <c r="F3" t="inlineStr">
        <is>
          <t>XLOOKUP Price</t>
        </is>
      </c>
      <c r="G3">
        <f>XLOOKUP(G1,A2:A7,D2:D7,"Not Found")</f>
        <v/>
      </c>
    </row>
    <row r="4">
      <c r="A4" t="n">
        <v>303</v>
      </c>
      <c r="B4" t="inlineStr">
        <is>
          <t>Keyboard</t>
        </is>
      </c>
      <c r="C4" t="inlineStr">
        <is>
          <t>Accessories</t>
        </is>
      </c>
      <c r="D4" t="n">
        <v>1500</v>
      </c>
    </row>
    <row r="5">
      <c r="A5" t="n">
        <v>304</v>
      </c>
      <c r="B5" t="inlineStr">
        <is>
          <t>Monitor</t>
        </is>
      </c>
      <c r="C5" t="inlineStr">
        <is>
          <t>Electronics</t>
        </is>
      </c>
      <c r="D5" t="n">
        <v>18000</v>
      </c>
    </row>
    <row r="6">
      <c r="A6" t="n">
        <v>305</v>
      </c>
      <c r="B6" t="inlineStr">
        <is>
          <t>Printer</t>
        </is>
      </c>
      <c r="C6" t="inlineStr">
        <is>
          <t>Office</t>
        </is>
      </c>
      <c r="D6" t="n">
        <v>12000</v>
      </c>
    </row>
    <row r="7">
      <c r="A7" t="n">
        <v>306</v>
      </c>
      <c r="B7" t="inlineStr">
        <is>
          <t>Headphones</t>
        </is>
      </c>
      <c r="C7" t="inlineStr">
        <is>
          <t>Accessories</t>
        </is>
      </c>
      <c r="D7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Total Sales</t>
        </is>
      </c>
    </row>
    <row r="2">
      <c r="A2" t="inlineStr">
        <is>
          <t>East</t>
        </is>
      </c>
      <c r="B2" t="n">
        <v>52000</v>
      </c>
    </row>
    <row r="3">
      <c r="A3" t="inlineStr">
        <is>
          <t>North</t>
        </is>
      </c>
      <c r="B3" t="n">
        <v>217000</v>
      </c>
    </row>
    <row r="4">
      <c r="A4" t="inlineStr">
        <is>
          <t>South</t>
        </is>
      </c>
      <c r="B4" t="n">
        <v>155000</v>
      </c>
    </row>
    <row r="5">
      <c r="A5" t="inlineStr">
        <is>
          <t>West</t>
        </is>
      </c>
      <c r="B5" t="n">
        <v>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Sale_ID</t>
        </is>
      </c>
      <c r="B1" s="2" t="inlineStr">
        <is>
          <t>Product_ID</t>
        </is>
      </c>
      <c r="C1" s="2" t="inlineStr">
        <is>
          <t>Product</t>
        </is>
      </c>
      <c r="D1" s="2" t="inlineStr">
        <is>
          <t>Region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Sales</t>
        </is>
      </c>
    </row>
    <row r="2">
      <c r="A2" t="n">
        <v>1</v>
      </c>
      <c r="B2" t="n">
        <v>301</v>
      </c>
      <c r="C2" t="inlineStr">
        <is>
          <t>Laptop</t>
        </is>
      </c>
      <c r="D2" t="inlineStr">
        <is>
          <t>North</t>
        </is>
      </c>
      <c r="E2" t="n">
        <v>2</v>
      </c>
      <c r="F2" t="n">
        <v>65000</v>
      </c>
      <c r="G2" t="n">
        <v>130000</v>
      </c>
    </row>
    <row r="3">
      <c r="A3" t="n">
        <v>3</v>
      </c>
      <c r="B3" t="n">
        <v>304</v>
      </c>
      <c r="C3" t="inlineStr">
        <is>
          <t>Monitor</t>
        </is>
      </c>
      <c r="D3" t="inlineStr">
        <is>
          <t>South</t>
        </is>
      </c>
      <c r="E3" t="n">
        <v>5</v>
      </c>
      <c r="F3" t="n">
        <v>18000</v>
      </c>
      <c r="G3" t="n">
        <v>90000</v>
      </c>
    </row>
    <row r="4">
      <c r="A4" t="n">
        <v>9</v>
      </c>
      <c r="B4" t="n">
        <v>304</v>
      </c>
      <c r="C4" t="inlineStr">
        <is>
          <t>Monitor</t>
        </is>
      </c>
      <c r="D4" t="inlineStr">
        <is>
          <t>North</t>
        </is>
      </c>
      <c r="E4" t="n">
        <v>4</v>
      </c>
      <c r="F4" t="n">
        <v>18000</v>
      </c>
      <c r="G4" t="n">
        <v>72000</v>
      </c>
    </row>
    <row r="5">
      <c r="A5" t="n">
        <v>7</v>
      </c>
      <c r="B5" t="n">
        <v>301</v>
      </c>
      <c r="C5" t="inlineStr">
        <is>
          <t>Laptop</t>
        </is>
      </c>
      <c r="D5" t="inlineStr">
        <is>
          <t>South</t>
        </is>
      </c>
      <c r="E5" t="n">
        <v>1</v>
      </c>
      <c r="F5" t="n">
        <v>65000</v>
      </c>
      <c r="G5" t="n">
        <v>65000</v>
      </c>
    </row>
    <row r="6">
      <c r="A6" t="n">
        <v>5</v>
      </c>
      <c r="B6" t="n">
        <v>305</v>
      </c>
      <c r="C6" t="inlineStr">
        <is>
          <t>Printer</t>
        </is>
      </c>
      <c r="D6" t="inlineStr">
        <is>
          <t>East</t>
        </is>
      </c>
      <c r="E6" t="n">
        <v>3</v>
      </c>
      <c r="F6" t="n">
        <v>12000</v>
      </c>
      <c r="G6" t="n">
        <v>36000</v>
      </c>
    </row>
    <row r="7">
      <c r="A7" t="n">
        <v>6</v>
      </c>
      <c r="B7" t="n">
        <v>306</v>
      </c>
      <c r="C7" t="inlineStr">
        <is>
          <t>Headphones</t>
        </is>
      </c>
      <c r="D7" t="inlineStr">
        <is>
          <t>West</t>
        </is>
      </c>
      <c r="E7" t="n">
        <v>8</v>
      </c>
      <c r="F7" t="n">
        <v>2500</v>
      </c>
      <c r="G7" t="n">
        <v>20000</v>
      </c>
    </row>
    <row r="8">
      <c r="A8" t="n">
        <v>10</v>
      </c>
      <c r="B8" t="n">
        <v>303</v>
      </c>
      <c r="C8" t="inlineStr">
        <is>
          <t>Keyboard</t>
        </is>
      </c>
      <c r="D8" t="inlineStr">
        <is>
          <t>West</t>
        </is>
      </c>
      <c r="E8" t="n">
        <v>12</v>
      </c>
      <c r="F8" t="n">
        <v>1500</v>
      </c>
      <c r="G8" t="n">
        <v>18000</v>
      </c>
    </row>
    <row r="9">
      <c r="A9" t="n">
        <v>8</v>
      </c>
      <c r="B9" t="n">
        <v>302</v>
      </c>
      <c r="C9" t="inlineStr">
        <is>
          <t>Mouse</t>
        </is>
      </c>
      <c r="D9" t="inlineStr">
        <is>
          <t>East</t>
        </is>
      </c>
      <c r="E9" t="n">
        <v>20</v>
      </c>
      <c r="F9" t="n">
        <v>800</v>
      </c>
      <c r="G9" t="n">
        <v>16000</v>
      </c>
    </row>
    <row r="10">
      <c r="A10" t="n">
        <v>4</v>
      </c>
      <c r="B10" t="n">
        <v>303</v>
      </c>
      <c r="C10" t="inlineStr">
        <is>
          <t>Keyboard</t>
        </is>
      </c>
      <c r="D10" t="inlineStr">
        <is>
          <t>North</t>
        </is>
      </c>
      <c r="E10" t="n">
        <v>10</v>
      </c>
      <c r="F10" t="n">
        <v>1500</v>
      </c>
      <c r="G10" t="n">
        <v>15000</v>
      </c>
    </row>
    <row r="11">
      <c r="A11" t="n">
        <v>2</v>
      </c>
      <c r="B11" t="n">
        <v>302</v>
      </c>
      <c r="C11" t="inlineStr">
        <is>
          <t>Mouse</t>
        </is>
      </c>
      <c r="D11" t="inlineStr">
        <is>
          <t>West</t>
        </is>
      </c>
      <c r="E11" t="n">
        <v>15</v>
      </c>
      <c r="F11" t="n">
        <v>800</v>
      </c>
      <c r="G11" t="n">
        <v>12000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Internova Week 3 - SQL &amp; Excel</t>
        </is>
      </c>
    </row>
    <row r="3">
      <c r="A3" t="inlineStr">
        <is>
          <t>Functions sheet: IF, COUNTIF and SUMIF</t>
        </is>
      </c>
    </row>
    <row r="4">
      <c r="A4" t="inlineStr">
        <is>
          <t>Lookup sheet: VLOOKUP and XLOOKUP</t>
        </is>
      </c>
    </row>
    <row r="5">
      <c r="A5" t="inlineStr">
        <is>
          <t>Pivot_Chart sheet: regional summary and chart</t>
        </is>
      </c>
    </row>
    <row r="6">
      <c r="A6" t="inlineStr">
        <is>
          <t>Formatting_Filtering sheet: formatted, sorted and filter-ready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2026-09-29T16:22:11Z</dcterms:created>
  <dcterms:modified xmlns:dcterms="http://purl.org/dc/terms/" xmlns:xsi="http://www.w3.org/2001/XMLSchema-instance" xsi:type="dcterms:W3CDTF">2026-09-29T16:22:11Z</dcterms:modified>
</cp:coreProperties>
</file>